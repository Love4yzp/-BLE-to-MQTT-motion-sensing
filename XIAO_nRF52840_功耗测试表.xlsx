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耗测试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"/>
    <numFmt numFmtId="166" formatCode="0.0"/>
    <numFmt numFmtId="167" formatCode="0.1"/>
  </numFmts>
  <fonts count="12">
    <font>
      <name val="Calibri"/>
      <family val="2"/>
      <color theme="1"/>
      <sz val="11"/>
      <scheme val="minor"/>
    </font>
    <font>
      <b val="1"/>
      <color rgb="002F5496"/>
      <sz val="14"/>
    </font>
    <font>
      <color rgb="00808080"/>
      <sz val="9"/>
    </font>
    <font>
      <b val="1"/>
      <color rgb="002F5496"/>
      <sz val="10"/>
    </font>
    <font>
      <b val="1"/>
      <color rgb="00FFFFFF"/>
      <sz val="11"/>
    </font>
    <font>
      <sz val="10"/>
    </font>
    <font>
      <color rgb="000000FF"/>
      <sz val="10"/>
    </font>
    <font>
      <color rgb="00000000"/>
      <sz val="10"/>
    </font>
    <font>
      <b val="1"/>
      <sz val="10"/>
    </font>
    <font>
      <b val="1"/>
      <sz val="11"/>
    </font>
    <font>
      <b val="1"/>
      <color rgb="002F5496"/>
      <sz val="12"/>
    </font>
    <font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0" fontId="7" fillId="5" borderId="1" pivotButton="0" quotePrefix="0" xfId="0"/>
    <xf numFmtId="1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6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6" fontId="10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1" fillId="0" borderId="0" pivotButton="0" quotePrefix="0" xfId="0"/>
    <xf numFmtId="164" fontId="6" fillId="4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5" fontId="6" fillId="4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0" customHeight="1">
      <c r="A1" s="1" t="inlineStr">
        <is>
          <t>XIAO nRF52840 功耗测试记录表</t>
        </is>
      </c>
    </row>
    <row r="2" ht="20" customHeight="1">
      <c r="A2" s="2" t="inlineStr">
        <is>
          <t>测量工具: Seeed XIAO Debug Mate (5V USB 端测量) | 电池: CR2032 (220mAh, 3V)</t>
        </is>
      </c>
    </row>
    <row r="4" ht="22" customHeight="1">
      <c r="A4" s="3" t="inlineStr">
        <is>
          <t>一、基准功耗测量（每项测 3 次取平均）</t>
        </is>
      </c>
    </row>
    <row r="5">
      <c r="A5" s="4" t="inlineStr">
        <is>
          <t>#</t>
        </is>
      </c>
      <c r="B5" s="4" t="inlineStr">
        <is>
          <t>测试状态</t>
        </is>
      </c>
      <c r="C5" s="4" t="inlineStr">
        <is>
          <t>电压 V</t>
        </is>
      </c>
      <c r="D5" s="4" t="inlineStr">
        <is>
          <t>电流 mA</t>
        </is>
      </c>
      <c r="E5" s="4" t="inlineStr">
        <is>
          <t>功率 mW</t>
        </is>
      </c>
      <c r="F5" s="4" t="inlineStr">
        <is>
          <t>平均电流 mA</t>
        </is>
      </c>
      <c r="G5" s="4" t="inlineStr">
        <is>
          <t>净 MCU 电流 mA</t>
        </is>
      </c>
      <c r="H5" s="4" t="inlineStr">
        <is>
          <t>备注</t>
        </is>
      </c>
    </row>
    <row r="6">
      <c r="A6" s="5" t="inlineStr">
        <is>
          <t>1</t>
        </is>
      </c>
      <c r="B6" s="6" t="inlineStr">
        <is>
          <t>System OFF 睡眠
(FORCE_BATTERY_MODE=1)</t>
        </is>
      </c>
      <c r="C6" s="30" t="n">
        <v>5.28</v>
      </c>
      <c r="D6" s="30" t="n">
        <v>1.59</v>
      </c>
      <c r="E6" s="31">
        <f>C6*D6</f>
        <v/>
      </c>
      <c r="F6" s="32" t="n"/>
      <c r="G6" s="32" t="n"/>
      <c r="H6" s="10" t="n"/>
    </row>
    <row r="7">
      <c r="A7" s="5" t="inlineStr">
        <is>
          <t>2</t>
        </is>
      </c>
      <c r="B7" s="6" t="inlineStr">
        <is>
          <t>System OFF 睡眠 (再测)</t>
        </is>
      </c>
      <c r="C7" s="30" t="n">
        <v>5.28</v>
      </c>
      <c r="D7" s="30" t="n">
        <v>1.59</v>
      </c>
      <c r="E7" s="31">
        <f>C7*D7</f>
        <v/>
      </c>
      <c r="F7" s="32" t="n"/>
      <c r="G7" s="32" t="n"/>
      <c r="H7" s="10" t="n"/>
    </row>
    <row r="8">
      <c r="A8" s="5" t="inlineStr">
        <is>
          <t>3</t>
        </is>
      </c>
      <c r="B8" s="6" t="inlineStr">
        <is>
          <t>System OFF 睡眠 (三测)</t>
        </is>
      </c>
      <c r="C8" s="30" t="n">
        <v>5.28</v>
      </c>
      <c r="D8" s="30" t="n">
        <v>1.59</v>
      </c>
      <c r="E8" s="31">
        <f>C8*D8</f>
        <v/>
      </c>
      <c r="F8" s="32" t="n"/>
      <c r="G8" s="32" t="n"/>
      <c r="H8" s="10" t="n"/>
    </row>
    <row r="9">
      <c r="A9" s="11" t="inlineStr"/>
      <c r="B9" s="12" t="inlineStr">
        <is>
          <t>睡眠平均值</t>
        </is>
      </c>
      <c r="C9" s="33">
        <f>AVERAGE(C6:C8)</f>
        <v/>
      </c>
      <c r="D9" s="33">
        <f>AVERAGE(D6:D8)</f>
        <v/>
      </c>
      <c r="E9" s="34">
        <f>C9*D9</f>
        <v/>
      </c>
      <c r="F9" s="34">
        <f>D9</f>
        <v/>
      </c>
      <c r="G9" s="34" t="n"/>
      <c r="H9" s="15" t="n"/>
    </row>
    <row r="10">
      <c r="A10" s="5" t="inlineStr">
        <is>
          <t>4</t>
        </is>
      </c>
      <c r="B10" s="6" t="inlineStr">
        <is>
          <t>BLE 广播中 (300ms 窗口)</t>
        </is>
      </c>
      <c r="C10" s="30" t="n">
        <v>5.27</v>
      </c>
      <c r="D10" s="30" t="n">
        <v>5.55</v>
      </c>
      <c r="E10" s="31">
        <f>C10*D10</f>
        <v/>
      </c>
      <c r="F10" s="32" t="n"/>
      <c r="G10" s="31">
        <f>D10-D$9</f>
        <v/>
      </c>
      <c r="H10" s="10" t="n"/>
    </row>
    <row r="11">
      <c r="A11" s="5" t="inlineStr">
        <is>
          <t>5</t>
        </is>
      </c>
      <c r="B11" s="6" t="inlineStr">
        <is>
          <t>BLE 广播中 (再测)</t>
        </is>
      </c>
      <c r="C11" s="30" t="n">
        <v>5.27</v>
      </c>
      <c r="D11" s="30" t="n">
        <v>5.55</v>
      </c>
      <c r="E11" s="31">
        <f>C11*D11</f>
        <v/>
      </c>
      <c r="F11" s="32" t="n"/>
      <c r="G11" s="31">
        <f>D11-D$9</f>
        <v/>
      </c>
      <c r="H11" s="10" t="n"/>
    </row>
    <row r="12">
      <c r="A12" s="5" t="inlineStr">
        <is>
          <t>6</t>
        </is>
      </c>
      <c r="B12" s="6" t="inlineStr">
        <is>
          <t>BLE 广播中 (三测)</t>
        </is>
      </c>
      <c r="C12" s="30" t="n">
        <v>5.27</v>
      </c>
      <c r="D12" s="30" t="n">
        <v>5.55</v>
      </c>
      <c r="E12" s="31">
        <f>C12*D12</f>
        <v/>
      </c>
      <c r="F12" s="32" t="n"/>
      <c r="G12" s="31">
        <f>D12-D$9</f>
        <v/>
      </c>
      <c r="H12" s="10" t="n"/>
    </row>
    <row r="13">
      <c r="A13" s="11" t="inlineStr"/>
      <c r="B13" s="12" t="inlineStr">
        <is>
          <t>广播平均值</t>
        </is>
      </c>
      <c r="C13" s="33">
        <f>AVERAGE(C10:C12)</f>
        <v/>
      </c>
      <c r="D13" s="33">
        <f>AVERAGE(D10:D12)</f>
        <v/>
      </c>
      <c r="E13" s="34">
        <f>C13*D13</f>
        <v/>
      </c>
      <c r="F13" s="34">
        <f>D13</f>
        <v/>
      </c>
      <c r="G13" s="34">
        <f>D13-D$9</f>
        <v/>
      </c>
      <c r="H13" s="15" t="n"/>
    </row>
    <row r="14">
      <c r="A14" s="5" t="inlineStr">
        <is>
          <t>7</t>
        </is>
      </c>
      <c r="B14" s="6" t="inlineStr">
        <is>
          <t>尾随窗口 (Tail Window)</t>
        </is>
      </c>
      <c r="C14" s="30" t="n">
        <v>5.27</v>
      </c>
      <c r="D14" s="30" t="n">
        <v>5.066</v>
      </c>
      <c r="E14" s="31">
        <f>C14*D14</f>
        <v/>
      </c>
      <c r="F14" s="32" t="n"/>
      <c r="G14" s="31">
        <f>D14-D$9</f>
        <v/>
      </c>
      <c r="H14" s="10" t="n"/>
    </row>
    <row r="15">
      <c r="A15" s="5" t="inlineStr">
        <is>
          <t>8</t>
        </is>
      </c>
      <c r="B15" s="6" t="inlineStr">
        <is>
          <t>尾随窗口 (再测)</t>
        </is>
      </c>
      <c r="C15" s="30" t="n">
        <v>5.27</v>
      </c>
      <c r="D15" s="30" t="n">
        <v>4.544</v>
      </c>
      <c r="E15" s="31">
        <f>C15*D15</f>
        <v/>
      </c>
      <c r="F15" s="32" t="n"/>
      <c r="G15" s="31">
        <f>D15-D$9</f>
        <v/>
      </c>
      <c r="H15" s="10" t="n"/>
    </row>
    <row r="16">
      <c r="A16" s="5" t="inlineStr">
        <is>
          <t>9</t>
        </is>
      </c>
      <c r="B16" s="6" t="inlineStr">
        <is>
          <t>尾随窗口 (三测)</t>
        </is>
      </c>
      <c r="C16" s="30" t="n">
        <v>5.27</v>
      </c>
      <c r="D16" s="30" t="n">
        <v>5.102</v>
      </c>
      <c r="E16" s="31">
        <f>C16*D16</f>
        <v/>
      </c>
      <c r="F16" s="32" t="n"/>
      <c r="G16" s="31">
        <f>D16-D$9</f>
        <v/>
      </c>
      <c r="H16" s="10" t="n"/>
    </row>
    <row r="17">
      <c r="A17" s="11" t="inlineStr"/>
      <c r="B17" s="12" t="inlineStr">
        <is>
          <t>尾随窗口平均值</t>
        </is>
      </c>
      <c r="C17" s="33">
        <f>AVERAGE(C14:C16)</f>
        <v/>
      </c>
      <c r="D17" s="33">
        <f>AVERAGE(D14:D16)</f>
        <v/>
      </c>
      <c r="E17" s="34">
        <f>C17*D17</f>
        <v/>
      </c>
      <c r="F17" s="34">
        <f>D17</f>
        <v/>
      </c>
      <c r="G17" s="34">
        <f>D17-D$9</f>
        <v/>
      </c>
      <c r="H17" s="15" t="n"/>
    </row>
    <row r="18">
      <c r="A18" s="5" t="inlineStr">
        <is>
          <t>10</t>
        </is>
      </c>
      <c r="B18" s="6" t="inlineStr">
        <is>
          <t>USB 空闲模式
(FORCE_BATTERY_MODE=0)</t>
        </is>
      </c>
      <c r="C18" s="30" t="n">
        <v>5.27</v>
      </c>
      <c r="D18" s="30" t="n">
        <v>4.904</v>
      </c>
      <c r="E18" s="31">
        <f>C18*D18</f>
        <v/>
      </c>
      <c r="F18" s="32" t="n"/>
      <c r="G18" s="32" t="n"/>
      <c r="H18" s="10" t="n"/>
    </row>
    <row r="20">
      <c r="A20" s="3" t="inlineStr">
        <is>
          <t>二、电池续航估算</t>
        </is>
      </c>
    </row>
    <row r="21">
      <c r="A21" s="4" t="inlineStr">
        <is>
          <t>#</t>
        </is>
      </c>
      <c r="B21" s="4" t="inlineStr">
        <is>
          <t>参数</t>
        </is>
      </c>
      <c r="C21" s="4" t="inlineStr">
        <is>
          <t>值</t>
        </is>
      </c>
      <c r="D21" s="4" t="inlineStr">
        <is>
          <t>单位</t>
        </is>
      </c>
      <c r="E21" s="4" t="inlineStr"/>
      <c r="F21" s="4" t="inlineStr"/>
      <c r="G21" s="4" t="inlineStr"/>
      <c r="H21" s="4" t="inlineStr">
        <is>
          <t>说明</t>
        </is>
      </c>
    </row>
    <row r="22">
      <c r="A22" s="5" t="inlineStr">
        <is>
          <t>P1</t>
        </is>
      </c>
      <c r="B22" s="6" t="inlineStr">
        <is>
          <t>电池容量</t>
        </is>
      </c>
      <c r="C22" s="16" t="n">
        <v>220</v>
      </c>
      <c r="D22" s="17" t="inlineStr">
        <is>
          <t>mAh</t>
        </is>
      </c>
      <c r="E22" s="10" t="inlineStr">
        <is>
          <t>← CR2032 标称</t>
        </is>
      </c>
      <c r="F22" s="35" t="n"/>
      <c r="G22" s="35" t="n"/>
      <c r="H22" s="36" t="n"/>
    </row>
    <row r="23">
      <c r="A23" s="5" t="inlineStr">
        <is>
          <t>P2</t>
        </is>
      </c>
      <c r="B23" s="6" t="inlineStr">
        <is>
          <t>每日触发次数</t>
        </is>
      </c>
      <c r="C23" s="19" t="n">
        <v>200</v>
      </c>
      <c r="D23" s="17" t="inlineStr">
        <is>
          <t>次/天</t>
        </is>
      </c>
      <c r="E23" s="10" t="inlineStr">
        <is>
          <t>← 输入你的预估值</t>
        </is>
      </c>
      <c r="F23" s="35" t="n"/>
      <c r="G23" s="35" t="n"/>
      <c r="H23" s="36" t="n"/>
    </row>
    <row r="24">
      <c r="A24" s="5" t="inlineStr">
        <is>
          <t>P3</t>
        </is>
      </c>
      <c r="B24" s="6" t="inlineStr">
        <is>
          <t>每次广播时长</t>
        </is>
      </c>
      <c r="C24" s="16" t="n">
        <v>300</v>
      </c>
      <c r="D24" s="17" t="inlineStr">
        <is>
          <t>ms</t>
        </is>
      </c>
      <c r="E24" s="10" t="inlineStr">
        <is>
          <t>← BROADCAST_DURATION</t>
        </is>
      </c>
      <c r="F24" s="35" t="n"/>
      <c r="G24" s="35" t="n"/>
      <c r="H24" s="36" t="n"/>
    </row>
    <row r="25">
      <c r="A25" s="5" t="inlineStr">
        <is>
          <t>P4</t>
        </is>
      </c>
      <c r="B25" s="6" t="inlineStr">
        <is>
          <t>每次尾随窗口</t>
        </is>
      </c>
      <c r="C25" s="16" t="n">
        <v>3000</v>
      </c>
      <c r="D25" s="17" t="inlineStr">
        <is>
          <t>ms</t>
        </is>
      </c>
      <c r="E25" s="10" t="inlineStr">
        <is>
          <t>← TAIL_WINDOW</t>
        </is>
      </c>
      <c r="F25" s="35" t="n"/>
      <c r="G25" s="35" t="n"/>
      <c r="H25" s="36" t="n"/>
    </row>
    <row r="26">
      <c r="A26" s="5" t="inlineStr">
        <is>
          <t>P5</t>
        </is>
      </c>
      <c r="B26" s="6" t="inlineStr">
        <is>
          <t>睡眠电流 (净值)</t>
        </is>
      </c>
      <c r="C26" s="37" t="n">
        <v>0.003</v>
      </c>
      <c r="D26" s="17" t="inlineStr">
        <is>
          <t>mA</t>
        </is>
      </c>
      <c r="E26" s="10" t="inlineStr">
        <is>
          <t>← 用 BAT 端实测或估 0.003</t>
        </is>
      </c>
      <c r="F26" s="35" t="n"/>
      <c r="G26" s="35" t="n"/>
      <c r="H26" s="36" t="n"/>
    </row>
    <row r="27">
      <c r="A27" s="5" t="inlineStr">
        <is>
          <t>P6</t>
        </is>
      </c>
      <c r="B27" s="6" t="inlineStr">
        <is>
          <t>广播电流 (净值)</t>
        </is>
      </c>
      <c r="C27" s="31">
        <f>IF(G13&lt;&gt;"",G13,3)</f>
        <v/>
      </c>
      <c r="D27" s="17" t="inlineStr">
        <is>
          <t>mA</t>
        </is>
      </c>
      <c r="E27" s="10" t="inlineStr">
        <is>
          <t>← 从上方 G13 自动引用</t>
        </is>
      </c>
      <c r="F27" s="35" t="n"/>
      <c r="G27" s="35" t="n"/>
      <c r="H27" s="36" t="n"/>
    </row>
    <row r="28">
      <c r="A28" s="5" t="inlineStr">
        <is>
          <t>P7</t>
        </is>
      </c>
      <c r="B28" s="6" t="inlineStr">
        <is>
          <t>尾随窗口电流 (净值)</t>
        </is>
      </c>
      <c r="C28" s="31">
        <f>IF(G17&lt;&gt;"",G17,0.5)</f>
        <v/>
      </c>
      <c r="D28" s="17" t="inlineStr">
        <is>
          <t>mA</t>
        </is>
      </c>
      <c r="E28" s="10" t="inlineStr">
        <is>
          <t>← 从上方 G17 自动引用</t>
        </is>
      </c>
      <c r="F28" s="35" t="n"/>
      <c r="G28" s="35" t="n"/>
      <c r="H28" s="36" t="n"/>
    </row>
    <row r="30">
      <c r="A30" s="3" t="inlineStr">
        <is>
          <t>三、续航计算结果</t>
        </is>
      </c>
    </row>
    <row r="31">
      <c r="A31" s="4" t="inlineStr">
        <is>
          <t>#</t>
        </is>
      </c>
      <c r="B31" s="4" t="inlineStr">
        <is>
          <t>计算项</t>
        </is>
      </c>
      <c r="C31" s="4" t="inlineStr">
        <is>
          <t>公式/值</t>
        </is>
      </c>
      <c r="D31" s="4" t="inlineStr">
        <is>
          <t>结果</t>
        </is>
      </c>
      <c r="E31" s="4" t="inlineStr">
        <is>
          <t>单位</t>
        </is>
      </c>
      <c r="F31" s="4" t="inlineStr"/>
      <c r="G31" s="4" t="inlineStr"/>
      <c r="H31" s="4" t="inlineStr"/>
    </row>
    <row r="32">
      <c r="A32" s="5" t="inlineStr">
        <is>
          <t>C1</t>
        </is>
      </c>
      <c r="B32" s="6" t="inlineStr">
        <is>
          <t>每次触发总时长</t>
        </is>
      </c>
      <c r="C32" s="21" t="inlineStr">
        <is>
          <t>P3 + P4</t>
        </is>
      </c>
      <c r="D32" s="38">
        <f>(C24+C25)</f>
        <v/>
      </c>
      <c r="E32" s="17" t="inlineStr">
        <is>
          <t>ms</t>
        </is>
      </c>
    </row>
    <row r="33">
      <c r="A33" s="5" t="inlineStr">
        <is>
          <t>C2</t>
        </is>
      </c>
      <c r="B33" s="6" t="inlineStr">
        <is>
          <t>每次触发平均电流</t>
        </is>
      </c>
      <c r="C33" s="21" t="inlineStr">
        <is>
          <t>加权平均</t>
        </is>
      </c>
      <c r="D33" s="38">
        <f>(C27*C24+C28*C25)/(C24+C25)</f>
        <v/>
      </c>
      <c r="E33" s="17" t="inlineStr">
        <is>
          <t>mA</t>
        </is>
      </c>
    </row>
    <row r="34">
      <c r="A34" s="5" t="inlineStr">
        <is>
          <t>C3</t>
        </is>
      </c>
      <c r="B34" s="6" t="inlineStr">
        <is>
          <t>每次触发消耗电量</t>
        </is>
      </c>
      <c r="C34" s="21" t="inlineStr">
        <is>
          <t>C2 × C1 / 3600000</t>
        </is>
      </c>
      <c r="D34" s="38">
        <f>D33*D32/3600000</f>
        <v/>
      </c>
      <c r="E34" s="17" t="inlineStr">
        <is>
          <t>mAh</t>
        </is>
      </c>
    </row>
    <row r="35">
      <c r="A35" s="5" t="inlineStr">
        <is>
          <t>C4</t>
        </is>
      </c>
      <c r="B35" s="6" t="inlineStr">
        <is>
          <t>每日触发消耗</t>
        </is>
      </c>
      <c r="C35" s="21" t="inlineStr">
        <is>
          <t>C3 × P2</t>
        </is>
      </c>
      <c r="D35" s="39">
        <f>D34*C23</f>
        <v/>
      </c>
      <c r="E35" s="17" t="inlineStr">
        <is>
          <t>mAh/天</t>
        </is>
      </c>
    </row>
    <row r="36">
      <c r="A36" s="5" t="inlineStr">
        <is>
          <t>C5</t>
        </is>
      </c>
      <c r="B36" s="6" t="inlineStr">
        <is>
          <t>每日睡眠消耗</t>
        </is>
      </c>
      <c r="C36" s="21" t="inlineStr">
        <is>
          <t>P5 × 24h</t>
        </is>
      </c>
      <c r="D36" s="39">
        <f>C26*24</f>
        <v/>
      </c>
      <c r="E36" s="17" t="inlineStr">
        <is>
          <t>mAh/天</t>
        </is>
      </c>
    </row>
    <row r="37">
      <c r="A37" s="5" t="inlineStr">
        <is>
          <t>C6</t>
        </is>
      </c>
      <c r="B37" s="6" t="inlineStr">
        <is>
          <t>每日总消耗</t>
        </is>
      </c>
      <c r="C37" s="21" t="inlineStr">
        <is>
          <t>C4 + C5</t>
        </is>
      </c>
      <c r="D37" s="39">
        <f>D35+D36</f>
        <v/>
      </c>
      <c r="E37" s="17" t="inlineStr">
        <is>
          <t>mAh/天</t>
        </is>
      </c>
    </row>
    <row r="38">
      <c r="A38" s="5" t="inlineStr">
        <is>
          <t>C7</t>
        </is>
      </c>
      <c r="B38" s="6" t="inlineStr">
        <is>
          <t>预计续航天数</t>
        </is>
      </c>
      <c r="C38" s="21" t="inlineStr">
        <is>
          <t>P1 / C6</t>
        </is>
      </c>
      <c r="D38" s="24">
        <f>C22/D37</f>
        <v/>
      </c>
      <c r="E38" s="17" t="inlineStr">
        <is>
          <t>天</t>
        </is>
      </c>
    </row>
    <row r="39">
      <c r="A39" s="5" t="inlineStr">
        <is>
          <t>C8</t>
        </is>
      </c>
      <c r="B39" s="6" t="inlineStr">
        <is>
          <t>预计续航月数</t>
        </is>
      </c>
      <c r="C39" s="21" t="inlineStr">
        <is>
          <t>C7 / 30</t>
        </is>
      </c>
      <c r="D39" s="24">
        <f>D38/30</f>
        <v/>
      </c>
      <c r="E39" s="17" t="inlineStr">
        <is>
          <t>月</t>
        </is>
      </c>
    </row>
    <row r="41">
      <c r="A41" s="3" t="inlineStr">
        <is>
          <t>四、不同触发频率下的续航对比</t>
        </is>
      </c>
    </row>
    <row r="42">
      <c r="A42" s="4" t="inlineStr">
        <is>
          <t>场景</t>
        </is>
      </c>
      <c r="B42" s="4" t="inlineStr">
        <is>
          <t>触发次数/天</t>
        </is>
      </c>
      <c r="C42" s="4" t="inlineStr">
        <is>
          <t>每日触发消耗 mAh</t>
        </is>
      </c>
      <c r="D42" s="4" t="inlineStr">
        <is>
          <t>每日睡眠消耗 mAh</t>
        </is>
      </c>
      <c r="E42" s="4" t="inlineStr">
        <is>
          <t>每日总消耗 mAh</t>
        </is>
      </c>
      <c r="F42" s="4" t="inlineStr">
        <is>
          <t>续航天数</t>
        </is>
      </c>
      <c r="G42" s="4" t="inlineStr">
        <is>
          <t>续航月数</t>
        </is>
      </c>
      <c r="H42" s="4" t="inlineStr"/>
    </row>
    <row r="43">
      <c r="A43" s="6" t="inlineStr">
        <is>
          <t>轻度 (展厅)</t>
        </is>
      </c>
      <c r="B43" s="5" t="n">
        <v>50</v>
      </c>
      <c r="C43" s="40">
        <f>D34*B43</f>
        <v/>
      </c>
      <c r="D43" s="40">
        <f>D36</f>
        <v/>
      </c>
      <c r="E43" s="40">
        <f>C43+D43</f>
        <v/>
      </c>
      <c r="F43" s="26">
        <f>C22/E43</f>
        <v/>
      </c>
      <c r="G43" s="27">
        <f>F43/30</f>
        <v/>
      </c>
    </row>
    <row r="44">
      <c r="A44" s="6" t="inlineStr">
        <is>
          <t>标准 (零售)</t>
        </is>
      </c>
      <c r="B44" s="5" t="n">
        <v>200</v>
      </c>
      <c r="C44" s="40">
        <f>D34*B44</f>
        <v/>
      </c>
      <c r="D44" s="40">
        <f>D36</f>
        <v/>
      </c>
      <c r="E44" s="40">
        <f>C44+D44</f>
        <v/>
      </c>
      <c r="F44" s="26">
        <f>C22/E44</f>
        <v/>
      </c>
      <c r="G44" s="27">
        <f>F44/30</f>
        <v/>
      </c>
    </row>
    <row r="45">
      <c r="A45" s="6" t="inlineStr">
        <is>
          <t>频繁 (促销)</t>
        </is>
      </c>
      <c r="B45" s="5" t="n">
        <v>500</v>
      </c>
      <c r="C45" s="40">
        <f>D34*B45</f>
        <v/>
      </c>
      <c r="D45" s="40">
        <f>D36</f>
        <v/>
      </c>
      <c r="E45" s="40">
        <f>C45+D45</f>
        <v/>
      </c>
      <c r="F45" s="26">
        <f>C22/E45</f>
        <v/>
      </c>
      <c r="G45" s="27">
        <f>F45/30</f>
        <v/>
      </c>
    </row>
    <row r="46">
      <c r="A46" s="6" t="inlineStr">
        <is>
          <t>密集 (高流量)</t>
        </is>
      </c>
      <c r="B46" s="5" t="n">
        <v>1000</v>
      </c>
      <c r="C46" s="40">
        <f>D34*B46</f>
        <v/>
      </c>
      <c r="D46" s="40">
        <f>D36</f>
        <v/>
      </c>
      <c r="E46" s="40">
        <f>C46+D46</f>
        <v/>
      </c>
      <c r="F46" s="26">
        <f>C22/E46</f>
        <v/>
      </c>
      <c r="G46" s="27">
        <f>F46/30</f>
        <v/>
      </c>
    </row>
    <row r="48">
      <c r="A48" s="28" t="inlineStr">
        <is>
          <t>图例：  🟡 黄底蓝字 = 手动输入    ⬜ 白底黑字 = 自动计算    🟢 绿底 = 平均值</t>
        </is>
      </c>
    </row>
    <row r="49">
      <c r="A49" s="29" t="inlineStr">
        <is>
          <t>注意：Debug Mate 在 5V 端测量，包含板上 LDO/充电 IC 静态功耗 (~1-2mA)。净 MCU 电流 = 测量值 - 睡眠基准值。精确 µA 级测量需 BAT 焊盘 + PPK2。</t>
        </is>
      </c>
    </row>
  </sheetData>
  <mergeCells count="15">
    <mergeCell ref="A4:H4"/>
    <mergeCell ref="A48:H48"/>
    <mergeCell ref="E23:H23"/>
    <mergeCell ref="E26:H26"/>
    <mergeCell ref="A30:H30"/>
    <mergeCell ref="E27:H27"/>
    <mergeCell ref="A20:H20"/>
    <mergeCell ref="A2:H2"/>
    <mergeCell ref="A41:H41"/>
    <mergeCell ref="A49:H49"/>
    <mergeCell ref="E25:H25"/>
    <mergeCell ref="A1:H1"/>
    <mergeCell ref="E24:H24"/>
    <mergeCell ref="E28:H28"/>
    <mergeCell ref="E22:H2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2026-02-06T06:16:41Z</dcterms:created>
  <dcterms:modified xmlns:dcterms="http://purl.org/dc/terms/" xmlns:xsi="http://www.w3.org/2001/XMLSchema-instance" xsi:type="dcterms:W3CDTF">2026-02-06T06:41:52Z</dcterms:modified>
</cp:coreProperties>
</file>